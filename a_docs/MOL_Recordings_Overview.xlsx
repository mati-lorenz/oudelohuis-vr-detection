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<sst xmlns="http://schemas.openxmlformats.org/spreadsheetml/2006/main" count="99" uniqueCount="58">
  <si>
    <t>VISTA</t>
  </si>
  <si>
    <t>DE</t>
  </si>
  <si>
    <t>V1 recombinase</t>
  </si>
  <si>
    <t>Expr V1</t>
  </si>
  <si>
    <t>Expr PM</t>
  </si>
  <si>
    <t>ISI</t>
  </si>
  <si>
    <t>OV</t>
  </si>
  <si>
    <t>STACK</t>
  </si>
  <si>
    <t>IM</t>
  </si>
  <si>
    <t>GR</t>
  </si>
  <si>
    <t>GN</t>
  </si>
  <si>
    <t>DM</t>
  </si>
  <si>
    <t>DP</t>
  </si>
  <si>
    <t>Ori45</t>
  </si>
  <si>
    <t>Ori135</t>
  </si>
  <si>
    <t>A</t>
  </si>
  <si>
    <t>B</t>
  </si>
  <si>
    <t>D</t>
  </si>
  <si>
    <t>G</t>
  </si>
  <si>
    <t>F</t>
  </si>
  <si>
    <t>Total DE sessions:</t>
  </si>
  <si>
    <t>Total DN sessions:</t>
  </si>
  <si>
    <t>NSH07429</t>
  </si>
  <si>
    <t>flp</t>
  </si>
  <si>
    <t>NSH07422</t>
  </si>
  <si>
    <t>cre</t>
  </si>
  <si>
    <t>LPE10192</t>
  </si>
  <si>
    <t>LPE09665</t>
  </si>
  <si>
    <t>strong</t>
  </si>
  <si>
    <t>good</t>
  </si>
  <si>
    <t>LPE09830</t>
  </si>
  <si>
    <t>LPE10883</t>
  </si>
  <si>
    <t>medium</t>
  </si>
  <si>
    <t>LPE10884</t>
  </si>
  <si>
    <t>weak</t>
  </si>
  <si>
    <t>no</t>
  </si>
  <si>
    <t>LPE10885</t>
  </si>
  <si>
    <t>LPE10919</t>
  </si>
  <si>
    <t>LPE11081</t>
  </si>
  <si>
    <t>LPE11086</t>
  </si>
  <si>
    <t>LPE11622</t>
  </si>
  <si>
    <t>LPE11623</t>
  </si>
  <si>
    <t>LPE11495</t>
  </si>
  <si>
    <t>perfect</t>
  </si>
  <si>
    <t>LPE11997</t>
  </si>
  <si>
    <t>LPE11998</t>
  </si>
  <si>
    <t>LPE12013</t>
  </si>
  <si>
    <t>LPE12223</t>
  </si>
  <si>
    <t>LPE12224</t>
  </si>
  <si>
    <t>LPE12384</t>
  </si>
  <si>
    <t>LPE12385</t>
  </si>
  <si>
    <t>okay</t>
  </si>
  <si>
    <t>Total sessions:</t>
  </si>
  <si>
    <t>Total animals:</t>
  </si>
  <si>
    <t>Total sessions (V1flp)</t>
  </si>
  <si>
    <t>Total sessions (V1cre)</t>
  </si>
  <si>
    <t># grating speed not in preprogrammed speeds for 10919 - 2023-11-13 and 2023-12-11 as well</t>
  </si>
  <si>
    <t># not the same number of tiffs as triggers for 12013 - 2024-05-06 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</si>
</sst>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rgb="FF0000FF"/>
      <name val="Arial"/>
      <scheme val="minor"/>
    </font>
    <font>
      <sz val="9.0"/>
      <color rgb="FF000000"/>
      <name val="&quot;Google Sans Mono&quot;"/>
    </font>
    <font>
      <sz val="7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2" numFmtId="0" xfId="0" applyAlignment="1" applyFill="1" applyFont="1">
      <alignment readingOrder="0" vertical="bottom"/>
    </xf>
    <xf borderId="0" fillId="2" fontId="2" numFmtId="0" xfId="0" applyAlignment="1" applyFill="1" applyFont="1">
      <alignment readingOrder="0" vertical="bottom"/>
    </xf>
    <xf borderId="0" fillId="5" fontId="2" numFmtId="0" xfId="0" applyAlignment="1" applyFill="1" applyFont="1">
      <alignment readingOrder="0" vertical="bottom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0" fillId="8" fontId="2" numFmtId="0" xfId="0" applyAlignment="1" applyFill="1" applyFont="1">
      <alignment vertical="bottom"/>
    </xf>
    <xf borderId="0" fillId="4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3" fontId="2" numFmtId="49" xfId="0" applyAlignment="1" applyFill="1" applyFont="1" applyNumberFormat="1">
      <alignment vertical="bottom"/>
    </xf>
    <xf borderId="0" fillId="12" fontId="1" numFmtId="0" xfId="0" applyAlignment="1" applyFill="1" applyFont="1">
      <alignment readingOrder="0"/>
    </xf>
    <xf borderId="0" fillId="12" fontId="1" numFmtId="0" xfId="0" applyFill="1" applyFont="1"/>
    <xf borderId="0" fillId="12" fontId="2" numFmtId="0" xfId="0" applyAlignment="1" applyFill="1" applyFont="1">
      <alignment readingOrder="0" vertical="bottom"/>
    </xf>
    <xf borderId="0" fillId="0" fontId="1" numFmtId="0" xfId="0" applyFont="1"/>
    <xf borderId="0" fillId="2" fontId="2" numFmtId="49" xfId="0" applyAlignment="1" applyFill="1" applyFont="1" applyNumberFormat="1">
      <alignment vertical="bottom"/>
    </xf>
    <xf borderId="0" fillId="13" fontId="2" numFmtId="49" xfId="0" applyAlignment="1" applyFill="1" applyFont="1" applyNumberFormat="1">
      <alignment readingOrder="0" vertical="bottom"/>
    </xf>
    <xf borderId="0" fillId="4" fontId="2" numFmtId="49" xfId="0" applyAlignment="1" applyFill="1" applyFont="1" applyNumberFormat="1">
      <alignment vertical="bottom"/>
    </xf>
    <xf borderId="0" fillId="13" fontId="2" numFmtId="49" xfId="0" applyAlignment="1" applyFill="1" applyFont="1" applyNumberFormat="1">
      <alignment vertical="bottom"/>
    </xf>
    <xf borderId="0" fillId="7" fontId="2" numFmtId="49" xfId="0" applyAlignment="1" applyFill="1" applyFont="1" applyNumberFormat="1">
      <alignment vertical="bottom"/>
    </xf>
    <xf borderId="0" fillId="9" fontId="2" numFmtId="49" xfId="0" applyAlignment="1" applyFill="1" applyFont="1" applyNumberFormat="1">
      <alignment vertical="bottom"/>
    </xf>
    <xf borderId="0" fillId="13" fontId="3" numFmtId="49" xfId="0" applyAlignment="1" applyFill="1" applyFont="1" applyNumberFormat="1">
      <alignment readingOrder="0"/>
    </xf>
    <xf borderId="0" fillId="7" fontId="2" numFmtId="49" xfId="0" applyAlignment="1" applyFill="1" applyFont="1" applyNumberFormat="1">
      <alignment readingOrder="0" vertical="bottom"/>
    </xf>
    <xf borderId="0" fillId="2" fontId="2" numFmtId="49" xfId="0" applyAlignment="1" applyFill="1" applyFont="1" applyNumberFormat="1">
      <alignment readingOrder="0" vertical="bottom"/>
    </xf>
    <xf borderId="0" fillId="9" fontId="2" numFmtId="49" xfId="0" applyAlignment="1" applyFill="1" applyFont="1" applyNumberFormat="1">
      <alignment readingOrder="0" vertical="bottom"/>
    </xf>
    <xf borderId="0" fillId="12" fontId="4" numFmtId="0" xfId="0" applyAlignment="1" applyFill="1" applyFont="1">
      <alignment readingOrder="0"/>
    </xf>
    <xf borderId="0" fillId="14" fontId="2" numFmtId="49" xfId="0" applyAlignment="1" applyFill="1" applyFont="1" applyNumberFormat="1">
      <alignment readingOrder="0" vertical="bottom"/>
    </xf>
    <xf borderId="0" fillId="14" fontId="2" numFmtId="0" xfId="0" applyAlignment="1" applyFill="1" applyFont="1">
      <alignment vertical="bottom"/>
    </xf>
    <xf borderId="0" fillId="14" fontId="1" numFmtId="0" xfId="0" applyFill="1" applyFont="1"/>
    <xf borderId="0" fillId="15" fontId="5" numFmtId="0" xfId="0" applyFill="1" applyFont="1"/>
    <xf borderId="0" fillId="0" fontId="2" numFmtId="49" xfId="0" applyAlignment="1" applyFont="1" applyNumberFormat="1">
      <alignment vertical="bottom"/>
    </xf>
    <xf borderId="0" fillId="0" fontId="6" numFmtId="0" xfId="0" applyAlignment="1" applyFont="1">
      <alignment readingOrder="0"/>
    </xf>
    <xf borderId="0" fillId="0" fontId="2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3" max="3" width="8.25"/>
    <col customWidth="1" min="4" max="4" width="9.0"/>
    <col customWidth="1" min="5" max="7" width="7.63"/>
    <col customWidth="1" min="8" max="8" width="9.5"/>
    <col customWidth="1" min="9" max="20" width="7.63"/>
    <col customWidth="1" min="21" max="21" width="8.63"/>
    <col customWidth="1" min="22" max="22" width="14.75"/>
  </cols>
  <sheetData>
    <row r="1">
      <c r="B1" s="1"/>
      <c r="C1" s="1"/>
      <c r="D1" s="1"/>
      <c r="E1" s="2"/>
      <c r="F1" s="2"/>
      <c r="H1" s="3"/>
      <c r="I1" s="4" t="s">
        <v>0</v>
      </c>
      <c r="L1" s="5"/>
      <c r="M1" s="6" t="s">
        <v>1</v>
      </c>
    </row>
    <row r="2">
      <c r="B2" s="1" t="s">
        <v>2</v>
      </c>
      <c r="C2" s="1" t="s">
        <v>3</v>
      </c>
      <c r="D2" s="1" t="s">
        <v>4</v>
      </c>
      <c r="E2" s="7" t="s">
        <v>5</v>
      </c>
      <c r="F2" s="8" t="s">
        <v>6</v>
      </c>
      <c r="G2" s="9" t="s">
        <v>7</v>
      </c>
      <c r="H2" s="3"/>
      <c r="I2" s="10" t="s">
        <v>8</v>
      </c>
      <c r="J2" s="11" t="s">
        <v>9</v>
      </c>
      <c r="K2" s="12" t="s">
        <v>10</v>
      </c>
      <c r="L2" s="1"/>
      <c r="M2" s="13" t="s">
        <v>11</v>
      </c>
      <c r="N2" s="14" t="s">
        <v>12</v>
      </c>
      <c r="O2" s="15" t="s">
        <v>13</v>
      </c>
      <c r="P2" s="16" t="s">
        <v>14</v>
      </c>
      <c r="Q2" s="17" t="s">
        <v>15</v>
      </c>
      <c r="R2" s="18" t="s">
        <v>16</v>
      </c>
      <c r="S2" s="19" t="s">
        <v>17</v>
      </c>
      <c r="T2" s="20" t="s">
        <v>18</v>
      </c>
      <c r="U2" s="14" t="s">
        <v>19</v>
      </c>
      <c r="V2" s="1" t="s">
        <v>20</v>
      </c>
      <c r="W2" s="1" t="s">
        <v>21</v>
      </c>
    </row>
    <row r="3">
      <c r="A3" s="21" t="s">
        <v>22</v>
      </c>
      <c r="B3" s="2" t="s">
        <v>23</v>
      </c>
      <c r="C3" s="3"/>
      <c r="E3" s="22">
        <v>1.0</v>
      </c>
      <c r="F3" s="22">
        <v>1.0</v>
      </c>
      <c r="G3" s="22">
        <v>0.0</v>
      </c>
      <c r="I3" s="23"/>
      <c r="J3" s="24"/>
      <c r="K3" s="23"/>
      <c r="M3" s="23"/>
      <c r="N3" s="23"/>
      <c r="O3" s="23"/>
      <c r="P3" s="23"/>
      <c r="Q3" s="23"/>
      <c r="R3" s="23"/>
      <c r="S3" s="23"/>
      <c r="T3" s="23"/>
      <c r="U3" s="23"/>
      <c r="V3" s="25">
        <f t="shared" ref="V3:V23" si="1">SUM(M3:U3)</f>
        <v>0</v>
      </c>
      <c r="W3" s="25">
        <f t="shared" ref="W3:W23" si="2">SUM(O3:U3)</f>
        <v>0</v>
      </c>
    </row>
    <row r="4">
      <c r="A4" s="26" t="s">
        <v>24</v>
      </c>
      <c r="B4" s="2" t="s">
        <v>25</v>
      </c>
      <c r="C4" s="3"/>
      <c r="E4" s="22">
        <v>1.0</v>
      </c>
      <c r="F4" s="22">
        <v>1.0</v>
      </c>
      <c r="G4" s="22">
        <v>0.0</v>
      </c>
      <c r="I4" s="23"/>
      <c r="J4" s="24"/>
      <c r="K4" s="23"/>
      <c r="M4" s="23"/>
      <c r="N4" s="23"/>
      <c r="O4" s="23"/>
      <c r="P4" s="23"/>
      <c r="Q4" s="23"/>
      <c r="R4" s="23"/>
      <c r="S4" s="23"/>
      <c r="T4" s="23"/>
      <c r="U4" s="23"/>
      <c r="V4" s="25">
        <f t="shared" si="1"/>
        <v>0</v>
      </c>
      <c r="W4" s="25">
        <f t="shared" si="2"/>
        <v>0</v>
      </c>
    </row>
    <row r="5">
      <c r="A5" s="27" t="s">
        <v>26</v>
      </c>
      <c r="B5" s="1" t="s">
        <v>23</v>
      </c>
      <c r="E5" s="23"/>
      <c r="F5" s="23"/>
      <c r="G5" s="22">
        <v>1.0</v>
      </c>
      <c r="I5" s="23"/>
      <c r="J5" s="23"/>
      <c r="K5" s="23"/>
      <c r="M5" s="23"/>
      <c r="N5" s="23"/>
      <c r="O5" s="23"/>
      <c r="P5" s="23"/>
      <c r="Q5" s="23"/>
      <c r="R5" s="23"/>
      <c r="S5" s="23"/>
      <c r="T5" s="23"/>
      <c r="U5" s="23"/>
      <c r="V5" s="25">
        <f t="shared" si="1"/>
        <v>0</v>
      </c>
      <c r="W5" s="25">
        <f t="shared" si="2"/>
        <v>0</v>
      </c>
    </row>
    <row r="6">
      <c r="A6" s="28" t="s">
        <v>27</v>
      </c>
      <c r="B6" s="2" t="s">
        <v>23</v>
      </c>
      <c r="C6" s="2" t="s">
        <v>28</v>
      </c>
      <c r="D6" s="1" t="s">
        <v>29</v>
      </c>
      <c r="E6" s="22">
        <v>1.0</v>
      </c>
      <c r="F6" s="22">
        <v>1.0</v>
      </c>
      <c r="G6" s="22">
        <v>0.0</v>
      </c>
      <c r="H6" s="1"/>
      <c r="I6" s="22">
        <v>2.0</v>
      </c>
      <c r="J6" s="24">
        <v>2.0</v>
      </c>
      <c r="K6" s="23"/>
      <c r="M6" s="23"/>
      <c r="N6" s="23"/>
      <c r="O6" s="23"/>
      <c r="P6" s="23"/>
      <c r="Q6" s="23"/>
      <c r="R6" s="23"/>
      <c r="S6" s="23"/>
      <c r="T6" s="23"/>
      <c r="U6" s="23"/>
      <c r="V6" s="25">
        <f t="shared" si="1"/>
        <v>0</v>
      </c>
      <c r="W6" s="25">
        <f t="shared" si="2"/>
        <v>0</v>
      </c>
    </row>
    <row r="7">
      <c r="A7" s="29" t="s">
        <v>30</v>
      </c>
      <c r="B7" s="2" t="s">
        <v>23</v>
      </c>
      <c r="C7" s="2" t="s">
        <v>28</v>
      </c>
      <c r="D7" s="1" t="s">
        <v>28</v>
      </c>
      <c r="E7" s="22">
        <v>1.0</v>
      </c>
      <c r="F7" s="22">
        <v>1.0</v>
      </c>
      <c r="G7" s="22">
        <v>0.0</v>
      </c>
      <c r="H7" s="1"/>
      <c r="I7" s="23"/>
      <c r="J7" s="24">
        <v>2.0</v>
      </c>
      <c r="K7" s="23"/>
      <c r="M7" s="23"/>
      <c r="N7" s="23"/>
      <c r="O7" s="23"/>
      <c r="P7" s="23"/>
      <c r="Q7" s="23"/>
      <c r="R7" s="23"/>
      <c r="S7" s="23"/>
      <c r="T7" s="23"/>
      <c r="U7" s="23"/>
      <c r="V7" s="25">
        <f t="shared" si="1"/>
        <v>0</v>
      </c>
      <c r="W7" s="25">
        <f t="shared" si="2"/>
        <v>0</v>
      </c>
    </row>
    <row r="8">
      <c r="A8" s="26" t="s">
        <v>31</v>
      </c>
      <c r="B8" s="2" t="s">
        <v>25</v>
      </c>
      <c r="C8" s="2" t="s">
        <v>32</v>
      </c>
      <c r="D8" s="2" t="s">
        <v>28</v>
      </c>
      <c r="E8" s="22">
        <v>1.0</v>
      </c>
      <c r="F8" s="22">
        <v>1.0</v>
      </c>
      <c r="G8" s="22">
        <v>1.0</v>
      </c>
      <c r="H8" s="1"/>
      <c r="I8" s="22">
        <v>2.0</v>
      </c>
      <c r="J8" s="24"/>
      <c r="K8" s="22">
        <v>1.0</v>
      </c>
      <c r="M8" s="23"/>
      <c r="N8" s="23"/>
      <c r="O8" s="23"/>
      <c r="P8" s="23"/>
      <c r="Q8" s="23"/>
      <c r="R8" s="23"/>
      <c r="S8" s="23"/>
      <c r="T8" s="23"/>
      <c r="U8" s="23"/>
      <c r="V8" s="25">
        <f t="shared" si="1"/>
        <v>0</v>
      </c>
      <c r="W8" s="25">
        <f t="shared" si="2"/>
        <v>0</v>
      </c>
    </row>
    <row r="9">
      <c r="A9" s="30" t="s">
        <v>33</v>
      </c>
      <c r="B9" s="2" t="s">
        <v>23</v>
      </c>
      <c r="C9" s="2" t="s">
        <v>34</v>
      </c>
      <c r="D9" s="2" t="s">
        <v>35</v>
      </c>
      <c r="E9" s="22">
        <v>1.0</v>
      </c>
      <c r="F9" s="22">
        <v>1.0</v>
      </c>
      <c r="G9" s="22">
        <v>0.0</v>
      </c>
      <c r="H9" s="1"/>
      <c r="I9" s="22">
        <v>1.0</v>
      </c>
      <c r="J9" s="22">
        <v>1.0</v>
      </c>
      <c r="K9" s="23"/>
      <c r="L9" s="1"/>
      <c r="M9" s="22">
        <v>2.0</v>
      </c>
      <c r="N9" s="22">
        <v>2.0</v>
      </c>
      <c r="O9" s="22">
        <v>3.0</v>
      </c>
      <c r="P9" s="22">
        <v>1.0</v>
      </c>
      <c r="Q9" s="22">
        <v>1.0</v>
      </c>
      <c r="R9" s="22">
        <v>1.0</v>
      </c>
      <c r="S9" s="22">
        <v>1.0</v>
      </c>
      <c r="T9" s="23"/>
      <c r="U9" s="23"/>
      <c r="V9" s="25">
        <f t="shared" si="1"/>
        <v>11</v>
      </c>
      <c r="W9" s="25">
        <f t="shared" si="2"/>
        <v>7</v>
      </c>
    </row>
    <row r="10">
      <c r="A10" s="31" t="s">
        <v>36</v>
      </c>
      <c r="B10" s="2" t="s">
        <v>25</v>
      </c>
      <c r="C10" s="2" t="s">
        <v>32</v>
      </c>
      <c r="D10" s="2" t="s">
        <v>28</v>
      </c>
      <c r="E10" s="22">
        <v>1.0</v>
      </c>
      <c r="F10" s="22">
        <v>1.0</v>
      </c>
      <c r="G10" s="22">
        <v>1.0</v>
      </c>
      <c r="H10" s="1"/>
      <c r="I10" s="22">
        <v>1.0</v>
      </c>
      <c r="J10" s="22">
        <v>3.0</v>
      </c>
      <c r="K10" s="22">
        <v>1.0</v>
      </c>
      <c r="M10" s="23"/>
      <c r="N10" s="23"/>
      <c r="O10" s="23"/>
      <c r="P10" s="23"/>
      <c r="Q10" s="23"/>
      <c r="R10" s="23"/>
      <c r="S10" s="23"/>
      <c r="T10" s="23"/>
      <c r="U10" s="23"/>
      <c r="V10" s="25">
        <f t="shared" si="1"/>
        <v>0</v>
      </c>
      <c r="W10" s="25">
        <f t="shared" si="2"/>
        <v>0</v>
      </c>
    </row>
    <row r="11">
      <c r="A11" s="32" t="s">
        <v>37</v>
      </c>
      <c r="B11" s="2" t="s">
        <v>25</v>
      </c>
      <c r="C11" s="3"/>
      <c r="E11" s="22">
        <v>1.0</v>
      </c>
      <c r="F11" s="22">
        <v>1.0</v>
      </c>
      <c r="G11" s="22">
        <v>1.0</v>
      </c>
      <c r="H11" s="1"/>
      <c r="I11" s="22">
        <v>1.0</v>
      </c>
      <c r="J11" s="22">
        <v>1.0</v>
      </c>
      <c r="K11" s="22"/>
      <c r="M11" s="23"/>
      <c r="N11" s="23"/>
      <c r="O11" s="23"/>
      <c r="P11" s="23"/>
      <c r="Q11" s="23"/>
      <c r="R11" s="23"/>
      <c r="S11" s="23"/>
      <c r="T11" s="23"/>
      <c r="U11" s="23"/>
      <c r="V11" s="25">
        <f t="shared" si="1"/>
        <v>0</v>
      </c>
      <c r="W11" s="25">
        <f t="shared" si="2"/>
        <v>0</v>
      </c>
    </row>
    <row r="12">
      <c r="A12" s="33" t="s">
        <v>38</v>
      </c>
      <c r="B12" s="2" t="s">
        <v>25</v>
      </c>
      <c r="C12" s="3"/>
      <c r="E12" s="22">
        <v>1.0</v>
      </c>
      <c r="F12" s="22">
        <v>1.0</v>
      </c>
      <c r="G12" s="22">
        <v>1.0</v>
      </c>
      <c r="I12" s="23"/>
      <c r="J12" s="23"/>
      <c r="K12" s="23"/>
      <c r="M12" s="22">
        <v>2.0</v>
      </c>
      <c r="N12" s="22">
        <v>1.0</v>
      </c>
      <c r="O12" s="23"/>
      <c r="P12" s="23"/>
      <c r="Q12" s="23"/>
      <c r="R12" s="23"/>
      <c r="S12" s="23"/>
      <c r="T12" s="23"/>
      <c r="U12" s="23"/>
      <c r="V12" s="25">
        <f t="shared" si="1"/>
        <v>3</v>
      </c>
      <c r="W12" s="25">
        <f t="shared" si="2"/>
        <v>0</v>
      </c>
    </row>
    <row r="13">
      <c r="A13" s="34" t="s">
        <v>39</v>
      </c>
      <c r="B13" s="2" t="s">
        <v>25</v>
      </c>
      <c r="C13" s="3"/>
      <c r="E13" s="22">
        <v>1.0</v>
      </c>
      <c r="F13" s="22">
        <v>1.0</v>
      </c>
      <c r="G13" s="22">
        <v>1.0</v>
      </c>
      <c r="H13" s="1"/>
      <c r="I13" s="22">
        <v>2.0</v>
      </c>
      <c r="J13" s="22">
        <v>2.0</v>
      </c>
      <c r="K13" s="22">
        <v>2.0</v>
      </c>
      <c r="M13" s="23"/>
      <c r="N13" s="22">
        <v>1.0</v>
      </c>
      <c r="O13" s="23"/>
      <c r="P13" s="23"/>
      <c r="Q13" s="23"/>
      <c r="R13" s="23"/>
      <c r="S13" s="23"/>
      <c r="T13" s="23"/>
      <c r="U13" s="23"/>
      <c r="V13" s="25">
        <f t="shared" si="1"/>
        <v>1</v>
      </c>
      <c r="W13" s="25">
        <f t="shared" si="2"/>
        <v>0</v>
      </c>
    </row>
    <row r="14">
      <c r="A14" s="35" t="s">
        <v>40</v>
      </c>
      <c r="B14" s="2" t="s">
        <v>23</v>
      </c>
      <c r="C14" s="1" t="s">
        <v>29</v>
      </c>
      <c r="D14" s="1" t="s">
        <v>29</v>
      </c>
      <c r="E14" s="22">
        <v>1.0</v>
      </c>
      <c r="F14" s="22">
        <v>1.0</v>
      </c>
      <c r="G14" s="22">
        <v>1.0</v>
      </c>
      <c r="H14" s="1"/>
      <c r="I14" s="22">
        <v>1.0</v>
      </c>
      <c r="J14" s="22">
        <v>1.0</v>
      </c>
      <c r="K14" s="22">
        <v>2.0</v>
      </c>
      <c r="M14" s="22">
        <v>1.0</v>
      </c>
      <c r="N14" s="22">
        <v>1.0</v>
      </c>
      <c r="O14" s="22">
        <v>1.0</v>
      </c>
      <c r="P14" s="22">
        <v>1.0</v>
      </c>
      <c r="Q14" s="22">
        <v>1.0</v>
      </c>
      <c r="R14" s="22">
        <v>1.0</v>
      </c>
      <c r="S14" s="22">
        <v>1.0</v>
      </c>
      <c r="T14" s="22">
        <v>1.0</v>
      </c>
      <c r="U14" s="23"/>
      <c r="V14" s="25">
        <f t="shared" si="1"/>
        <v>8</v>
      </c>
      <c r="W14" s="25">
        <f t="shared" si="2"/>
        <v>6</v>
      </c>
    </row>
    <row r="15">
      <c r="A15" s="33" t="s">
        <v>41</v>
      </c>
      <c r="B15" s="2" t="s">
        <v>25</v>
      </c>
      <c r="C15" s="2" t="s">
        <v>34</v>
      </c>
      <c r="E15" s="22">
        <v>1.0</v>
      </c>
      <c r="F15" s="22"/>
      <c r="G15" s="22"/>
      <c r="H15" s="1"/>
      <c r="I15" s="22"/>
      <c r="J15" s="22"/>
      <c r="K15" s="22"/>
      <c r="M15" s="22">
        <v>1.0</v>
      </c>
      <c r="N15" s="22">
        <v>3.0</v>
      </c>
      <c r="O15" s="36">
        <v>1.0</v>
      </c>
      <c r="P15" s="23"/>
      <c r="Q15" s="23"/>
      <c r="R15" s="23"/>
      <c r="S15" s="23"/>
      <c r="T15" s="23"/>
      <c r="U15" s="23"/>
      <c r="V15" s="25">
        <f t="shared" si="1"/>
        <v>5</v>
      </c>
      <c r="W15" s="25">
        <f t="shared" si="2"/>
        <v>1</v>
      </c>
    </row>
    <row r="16">
      <c r="A16" s="27" t="s">
        <v>42</v>
      </c>
      <c r="B16" s="2" t="s">
        <v>25</v>
      </c>
      <c r="C16" s="2" t="s">
        <v>43</v>
      </c>
      <c r="D16" s="1" t="s">
        <v>34</v>
      </c>
      <c r="E16" s="22"/>
      <c r="F16" s="22"/>
      <c r="G16" s="22"/>
      <c r="H16" s="1"/>
      <c r="I16" s="22">
        <v>1.0</v>
      </c>
      <c r="J16" s="22"/>
      <c r="K16" s="22">
        <v>2.0</v>
      </c>
      <c r="M16" s="22">
        <v>2.0</v>
      </c>
      <c r="N16" s="22">
        <v>3.0</v>
      </c>
      <c r="O16" s="22"/>
      <c r="P16" s="36">
        <v>1.0</v>
      </c>
      <c r="Q16" s="23"/>
      <c r="R16" s="23"/>
      <c r="S16" s="23"/>
      <c r="T16" s="22"/>
      <c r="U16" s="23"/>
      <c r="V16" s="25">
        <f t="shared" si="1"/>
        <v>6</v>
      </c>
      <c r="W16" s="25">
        <f t="shared" si="2"/>
        <v>1</v>
      </c>
    </row>
    <row r="17">
      <c r="A17" s="34" t="s">
        <v>44</v>
      </c>
      <c r="B17" s="2" t="s">
        <v>23</v>
      </c>
      <c r="C17" s="2" t="s">
        <v>43</v>
      </c>
      <c r="D17" s="2" t="s">
        <v>43</v>
      </c>
      <c r="E17" s="22">
        <v>1.0</v>
      </c>
      <c r="F17" s="22">
        <v>1.0</v>
      </c>
      <c r="G17" s="22">
        <v>1.0</v>
      </c>
      <c r="I17" s="23"/>
      <c r="J17" s="23"/>
      <c r="K17" s="23"/>
      <c r="M17" s="22">
        <v>2.0</v>
      </c>
      <c r="N17" s="22">
        <v>2.0</v>
      </c>
      <c r="O17" s="22">
        <v>1.0</v>
      </c>
      <c r="P17" s="22">
        <v>1.0</v>
      </c>
      <c r="Q17" s="23"/>
      <c r="R17" s="22">
        <v>1.0</v>
      </c>
      <c r="S17" s="22">
        <v>2.0</v>
      </c>
      <c r="T17" s="22">
        <v>1.0</v>
      </c>
      <c r="U17" s="22">
        <v>1.0</v>
      </c>
      <c r="V17" s="25">
        <f t="shared" si="1"/>
        <v>11</v>
      </c>
      <c r="W17" s="25">
        <f t="shared" si="2"/>
        <v>7</v>
      </c>
    </row>
    <row r="18">
      <c r="A18" s="35" t="s">
        <v>45</v>
      </c>
      <c r="B18" s="2" t="s">
        <v>23</v>
      </c>
      <c r="C18" s="1" t="s">
        <v>29</v>
      </c>
      <c r="D18" s="1" t="s">
        <v>29</v>
      </c>
      <c r="E18" s="22">
        <v>1.0</v>
      </c>
      <c r="F18" s="22">
        <v>1.0</v>
      </c>
      <c r="G18" s="22">
        <v>1.0</v>
      </c>
      <c r="I18" s="22">
        <v>1.0</v>
      </c>
      <c r="J18" s="22">
        <v>1.0</v>
      </c>
      <c r="K18" s="22">
        <v>2.0</v>
      </c>
      <c r="M18" s="22">
        <v>2.0</v>
      </c>
      <c r="N18" s="22">
        <v>4.0</v>
      </c>
      <c r="O18" s="22">
        <v>2.0</v>
      </c>
      <c r="P18" s="22">
        <v>1.0</v>
      </c>
      <c r="Q18" s="22">
        <v>1.0</v>
      </c>
      <c r="R18" s="23"/>
      <c r="S18" s="23"/>
      <c r="T18" s="22">
        <v>2.0</v>
      </c>
      <c r="U18" s="22">
        <v>1.0</v>
      </c>
      <c r="V18" s="25">
        <f t="shared" si="1"/>
        <v>13</v>
      </c>
      <c r="W18" s="25">
        <f t="shared" si="2"/>
        <v>7</v>
      </c>
    </row>
    <row r="19">
      <c r="A19" s="33" t="s">
        <v>46</v>
      </c>
      <c r="B19" s="2" t="s">
        <v>23</v>
      </c>
      <c r="C19" s="1" t="s">
        <v>34</v>
      </c>
      <c r="D19" s="1" t="s">
        <v>29</v>
      </c>
      <c r="E19" s="22">
        <v>1.0</v>
      </c>
      <c r="F19" s="22">
        <v>1.0</v>
      </c>
      <c r="G19" s="22">
        <v>1.0</v>
      </c>
      <c r="I19" s="22"/>
      <c r="J19" s="23"/>
      <c r="K19" s="23"/>
      <c r="M19" s="22">
        <v>2.0</v>
      </c>
      <c r="N19" s="22">
        <v>2.0</v>
      </c>
      <c r="O19" s="22">
        <v>2.0</v>
      </c>
      <c r="P19" s="22">
        <v>1.0</v>
      </c>
      <c r="Q19" s="23"/>
      <c r="R19" s="23"/>
      <c r="S19" s="23"/>
      <c r="T19" s="22">
        <v>1.0</v>
      </c>
      <c r="U19" s="22">
        <v>2.0</v>
      </c>
      <c r="V19" s="25">
        <f t="shared" si="1"/>
        <v>10</v>
      </c>
      <c r="W19" s="25">
        <f t="shared" si="2"/>
        <v>6</v>
      </c>
    </row>
    <row r="20">
      <c r="A20" s="34" t="s">
        <v>47</v>
      </c>
      <c r="B20" s="1" t="s">
        <v>23</v>
      </c>
      <c r="C20" s="2" t="s">
        <v>43</v>
      </c>
      <c r="D20" s="2" t="s">
        <v>43</v>
      </c>
      <c r="E20" s="22">
        <v>1.0</v>
      </c>
      <c r="F20" s="22">
        <v>1.0</v>
      </c>
      <c r="G20" s="22">
        <v>1.0</v>
      </c>
      <c r="I20" s="22">
        <v>1.0</v>
      </c>
      <c r="J20" s="22">
        <v>1.0</v>
      </c>
      <c r="K20" s="22">
        <v>1.0</v>
      </c>
      <c r="M20" s="22">
        <v>2.0</v>
      </c>
      <c r="N20" s="22">
        <v>1.0</v>
      </c>
      <c r="O20" s="23"/>
      <c r="P20" s="23"/>
      <c r="Q20" s="23"/>
      <c r="R20" s="23"/>
      <c r="S20" s="23"/>
      <c r="T20" s="23"/>
      <c r="U20" s="23"/>
      <c r="V20" s="25">
        <f t="shared" si="1"/>
        <v>3</v>
      </c>
      <c r="W20" s="25">
        <f t="shared" si="2"/>
        <v>0</v>
      </c>
    </row>
    <row r="21">
      <c r="A21" s="33" t="s">
        <v>48</v>
      </c>
      <c r="B21" s="2" t="s">
        <v>25</v>
      </c>
      <c r="C21" s="1" t="s">
        <v>34</v>
      </c>
      <c r="D21" s="1" t="s">
        <v>34</v>
      </c>
      <c r="E21" s="22">
        <v>1.0</v>
      </c>
      <c r="F21" s="23"/>
      <c r="G21" s="23"/>
      <c r="I21" s="23"/>
      <c r="J21" s="23"/>
      <c r="K21" s="23"/>
      <c r="M21" s="22">
        <v>1.0</v>
      </c>
      <c r="N21" s="22">
        <v>1.0</v>
      </c>
      <c r="O21" s="23"/>
      <c r="P21" s="23"/>
      <c r="Q21" s="23"/>
      <c r="R21" s="23"/>
      <c r="S21" s="23"/>
      <c r="T21" s="23"/>
      <c r="U21" s="23"/>
      <c r="V21" s="25">
        <f t="shared" si="1"/>
        <v>2</v>
      </c>
      <c r="W21" s="25">
        <f t="shared" si="2"/>
        <v>0</v>
      </c>
    </row>
    <row r="22">
      <c r="A22" s="35" t="s">
        <v>49</v>
      </c>
      <c r="B22" s="1" t="s">
        <v>23</v>
      </c>
      <c r="C22" s="1" t="s">
        <v>34</v>
      </c>
      <c r="D22" s="1" t="s">
        <v>34</v>
      </c>
      <c r="E22" s="22">
        <v>1.0</v>
      </c>
      <c r="F22" s="23"/>
      <c r="G22" s="23"/>
      <c r="I22" s="23"/>
      <c r="J22" s="23"/>
      <c r="K22" s="23"/>
      <c r="M22" s="22">
        <v>2.0</v>
      </c>
      <c r="N22" s="22">
        <v>1.0</v>
      </c>
      <c r="O22" s="23"/>
      <c r="P22" s="23"/>
      <c r="Q22" s="23"/>
      <c r="R22" s="23"/>
      <c r="S22" s="23"/>
      <c r="T22" s="23"/>
      <c r="U22" s="23"/>
      <c r="V22" s="25">
        <f t="shared" si="1"/>
        <v>3</v>
      </c>
      <c r="W22" s="25">
        <f t="shared" si="2"/>
        <v>0</v>
      </c>
    </row>
    <row r="23">
      <c r="A23" s="32" t="s">
        <v>50</v>
      </c>
      <c r="B23" s="2" t="s">
        <v>25</v>
      </c>
      <c r="C23" s="1" t="s">
        <v>51</v>
      </c>
      <c r="D23" s="1" t="s">
        <v>34</v>
      </c>
      <c r="E23" s="22">
        <v>1.0</v>
      </c>
      <c r="F23" s="22">
        <v>1.0</v>
      </c>
      <c r="G23" s="22">
        <v>1.0</v>
      </c>
      <c r="I23" s="23"/>
      <c r="J23" s="23"/>
      <c r="K23" s="22">
        <v>1.0</v>
      </c>
      <c r="M23" s="22">
        <v>1.0</v>
      </c>
      <c r="N23" s="22">
        <v>3.0</v>
      </c>
      <c r="O23" s="22">
        <v>1.0</v>
      </c>
      <c r="P23" s="22">
        <v>1.0</v>
      </c>
      <c r="Q23" s="22">
        <v>1.0</v>
      </c>
      <c r="R23" s="23"/>
      <c r="S23" s="23"/>
      <c r="T23" s="22">
        <v>1.0</v>
      </c>
      <c r="U23" s="22">
        <v>1.0</v>
      </c>
      <c r="V23" s="25">
        <f t="shared" si="1"/>
        <v>9</v>
      </c>
      <c r="W23" s="25">
        <f t="shared" si="2"/>
        <v>5</v>
      </c>
    </row>
    <row r="25">
      <c r="A25" s="37" t="s">
        <v>52</v>
      </c>
      <c r="B25" s="38"/>
      <c r="C25" s="38"/>
      <c r="D25" s="39"/>
      <c r="E25" s="39">
        <f t="shared" ref="E25:G25" si="3">sum(E3:E24)</f>
        <v>19</v>
      </c>
      <c r="F25" s="39">
        <f t="shared" si="3"/>
        <v>16</v>
      </c>
      <c r="G25" s="39">
        <f t="shared" si="3"/>
        <v>12</v>
      </c>
      <c r="I25" s="39">
        <f t="shared" ref="I25:K25" si="4">sum(I3:I24)</f>
        <v>13</v>
      </c>
      <c r="J25" s="39">
        <f t="shared" si="4"/>
        <v>14</v>
      </c>
      <c r="K25" s="39">
        <f t="shared" si="4"/>
        <v>12</v>
      </c>
      <c r="M25" s="39">
        <f t="shared" ref="M25:U25" si="5">sum(M3:M24)</f>
        <v>20</v>
      </c>
      <c r="N25" s="39">
        <f t="shared" si="5"/>
        <v>25</v>
      </c>
      <c r="O25" s="39">
        <f t="shared" si="5"/>
        <v>11</v>
      </c>
      <c r="P25" s="39">
        <f t="shared" si="5"/>
        <v>7</v>
      </c>
      <c r="Q25" s="39">
        <f t="shared" si="5"/>
        <v>4</v>
      </c>
      <c r="R25" s="39">
        <f t="shared" si="5"/>
        <v>3</v>
      </c>
      <c r="S25" s="39">
        <f t="shared" si="5"/>
        <v>4</v>
      </c>
      <c r="T25" s="39">
        <f t="shared" si="5"/>
        <v>6</v>
      </c>
      <c r="U25" s="39">
        <f t="shared" si="5"/>
        <v>5</v>
      </c>
      <c r="V25" s="23">
        <f>SUM(M25:U25)</f>
        <v>85</v>
      </c>
      <c r="W25" s="23">
        <f>SUM(O25:U25)</f>
        <v>40</v>
      </c>
      <c r="X25" s="40"/>
    </row>
    <row r="26">
      <c r="A26" s="37" t="s">
        <v>53</v>
      </c>
      <c r="B26" s="38"/>
      <c r="C26" s="38"/>
      <c r="D26" s="39"/>
      <c r="E26" s="39">
        <f t="shared" ref="E26:G26" si="6">COUNTIF(E3:E24,"&gt;0")</f>
        <v>19</v>
      </c>
      <c r="F26" s="39">
        <f t="shared" si="6"/>
        <v>16</v>
      </c>
      <c r="G26" s="39">
        <f t="shared" si="6"/>
        <v>12</v>
      </c>
      <c r="I26" s="39">
        <f t="shared" ref="I26:K26" si="7">COUNTIF(I3:I24,"&gt;0")</f>
        <v>10</v>
      </c>
      <c r="J26" s="39">
        <f t="shared" si="7"/>
        <v>9</v>
      </c>
      <c r="K26" s="39">
        <f t="shared" si="7"/>
        <v>8</v>
      </c>
      <c r="M26" s="39">
        <f t="shared" ref="M26:U26" si="8">COUNTIF(M3:M24,"&gt;0")</f>
        <v>12</v>
      </c>
      <c r="N26" s="39">
        <f t="shared" si="8"/>
        <v>13</v>
      </c>
      <c r="O26" s="39">
        <f t="shared" si="8"/>
        <v>7</v>
      </c>
      <c r="P26" s="39">
        <f t="shared" si="8"/>
        <v>7</v>
      </c>
      <c r="Q26" s="39">
        <f t="shared" si="8"/>
        <v>4</v>
      </c>
      <c r="R26" s="39">
        <f t="shared" si="8"/>
        <v>3</v>
      </c>
      <c r="S26" s="39">
        <f t="shared" si="8"/>
        <v>3</v>
      </c>
      <c r="T26" s="39">
        <f t="shared" si="8"/>
        <v>5</v>
      </c>
      <c r="U26" s="39">
        <f t="shared" si="8"/>
        <v>4</v>
      </c>
      <c r="V26" s="23">
        <f>COUNTIF(V3:V23,"&gt;0")</f>
        <v>13</v>
      </c>
      <c r="W26" s="23">
        <f>COUNTIF(W3:W23,"&gt;1")</f>
        <v>6</v>
      </c>
    </row>
    <row r="27">
      <c r="A27" s="41"/>
      <c r="B27" s="3"/>
      <c r="C27" s="3"/>
      <c r="G27" s="42"/>
    </row>
    <row r="28">
      <c r="A28" s="37" t="s">
        <v>54</v>
      </c>
      <c r="B28" s="38"/>
      <c r="C28" s="38"/>
      <c r="D28" s="39"/>
      <c r="E28" s="39"/>
      <c r="F28" s="39"/>
      <c r="G28" s="39"/>
      <c r="I28" s="39">
        <f t="shared" ref="I28:K28" si="9">SUMIF($B$3:$B$24,"flp",I3:I24)</f>
        <v>6</v>
      </c>
      <c r="J28" s="39">
        <f t="shared" si="9"/>
        <v>8</v>
      </c>
      <c r="K28" s="39">
        <f t="shared" si="9"/>
        <v>5</v>
      </c>
      <c r="M28" s="39">
        <f t="shared" ref="M28:U28" si="10">SUMIF($B$3:$B$24,"flp",M3:M24)</f>
        <v>13</v>
      </c>
      <c r="N28" s="39">
        <f t="shared" si="10"/>
        <v>13</v>
      </c>
      <c r="O28" s="39">
        <f t="shared" si="10"/>
        <v>9</v>
      </c>
      <c r="P28" s="39">
        <f t="shared" si="10"/>
        <v>5</v>
      </c>
      <c r="Q28" s="39">
        <f t="shared" si="10"/>
        <v>3</v>
      </c>
      <c r="R28" s="39">
        <f t="shared" si="10"/>
        <v>3</v>
      </c>
      <c r="S28" s="39">
        <f t="shared" si="10"/>
        <v>4</v>
      </c>
      <c r="T28" s="39">
        <f t="shared" si="10"/>
        <v>5</v>
      </c>
      <c r="U28" s="39">
        <f t="shared" si="10"/>
        <v>4</v>
      </c>
    </row>
    <row r="29">
      <c r="A29" s="37" t="s">
        <v>55</v>
      </c>
      <c r="B29" s="38"/>
      <c r="C29" s="38"/>
      <c r="D29" s="39"/>
      <c r="E29" s="39"/>
      <c r="F29" s="39"/>
      <c r="G29" s="39"/>
      <c r="I29" s="39">
        <f t="shared" ref="I29:K29" si="11">SUMIF($B$3:$B$24,"cre",I3:I24)</f>
        <v>7</v>
      </c>
      <c r="J29" s="39">
        <f t="shared" si="11"/>
        <v>6</v>
      </c>
      <c r="K29" s="39">
        <f t="shared" si="11"/>
        <v>7</v>
      </c>
      <c r="M29" s="39">
        <f t="shared" ref="M29:U29" si="12">SUMIF($B$3:$B$24,"cre",M3:M24)</f>
        <v>7</v>
      </c>
      <c r="N29" s="39">
        <f t="shared" si="12"/>
        <v>12</v>
      </c>
      <c r="O29" s="39">
        <f t="shared" si="12"/>
        <v>2</v>
      </c>
      <c r="P29" s="39">
        <f t="shared" si="12"/>
        <v>2</v>
      </c>
      <c r="Q29" s="39">
        <f t="shared" si="12"/>
        <v>1</v>
      </c>
      <c r="R29" s="39">
        <f t="shared" si="12"/>
        <v>0</v>
      </c>
      <c r="S29" s="39">
        <f t="shared" si="12"/>
        <v>0</v>
      </c>
      <c r="T29" s="39">
        <f t="shared" si="12"/>
        <v>1</v>
      </c>
      <c r="U29" s="39">
        <f t="shared" si="12"/>
        <v>1</v>
      </c>
    </row>
    <row r="30">
      <c r="A30" s="41"/>
      <c r="B30" s="3"/>
      <c r="C30" s="3"/>
    </row>
    <row r="31">
      <c r="A31" s="41"/>
      <c r="B31" s="3"/>
      <c r="C31" s="3"/>
    </row>
    <row r="32">
      <c r="A32" s="43" t="s">
        <v>56</v>
      </c>
      <c r="B32" s="3"/>
      <c r="C32" s="3"/>
    </row>
    <row r="33">
      <c r="A33" s="43" t="s">
        <v>57</v>
      </c>
      <c r="B33" s="3"/>
      <c r="C33" s="3"/>
    </row>
    <row r="34">
      <c r="A34" s="41"/>
      <c r="B34" s="3"/>
      <c r="C34" s="3"/>
    </row>
    <row r="35">
      <c r="A35" s="41"/>
      <c r="B35" s="3"/>
      <c r="C35" s="3"/>
    </row>
    <row r="36">
      <c r="A36" s="41"/>
      <c r="B36" s="3"/>
      <c r="C36" s="3"/>
    </row>
    <row r="37">
      <c r="A37" s="41"/>
      <c r="B37" s="3"/>
      <c r="C37" s="3"/>
    </row>
    <row r="38">
      <c r="A38" s="41"/>
      <c r="B38" s="3"/>
      <c r="C38" s="3"/>
    </row>
    <row r="39">
      <c r="A39" s="41"/>
      <c r="B39" s="3"/>
      <c r="C39" s="3"/>
    </row>
    <row r="40">
      <c r="A40" s="41"/>
      <c r="B40" s="3"/>
      <c r="C40" s="3"/>
    </row>
    <row r="41">
      <c r="A41" s="41"/>
      <c r="B41" s="3"/>
      <c r="C41" s="3"/>
    </row>
    <row r="42">
      <c r="A42" s="41"/>
      <c r="B42" s="3"/>
      <c r="C42" s="3"/>
    </row>
    <row r="43">
      <c r="A43" s="41"/>
      <c r="B43" s="3"/>
      <c r="C43" s="3"/>
    </row>
    <row r="44">
      <c r="A44" s="41"/>
      <c r="B44" s="3"/>
      <c r="C44" s="3"/>
    </row>
    <row r="45">
      <c r="A45" s="41"/>
      <c r="B45" s="3"/>
      <c r="C45" s="3"/>
    </row>
    <row r="46">
      <c r="A46" s="41"/>
      <c r="B46" s="3"/>
      <c r="C46" s="3"/>
    </row>
    <row r="47">
      <c r="A47" s="41"/>
      <c r="B47" s="3"/>
      <c r="C47" s="3"/>
    </row>
    <row r="48">
      <c r="A48" s="41"/>
      <c r="B48" s="3"/>
      <c r="C48" s="3"/>
    </row>
    <row r="49">
      <c r="A49" s="41"/>
      <c r="B49" s="3"/>
      <c r="C49" s="3"/>
    </row>
    <row r="50">
      <c r="A50" s="41"/>
      <c r="B50" s="3"/>
      <c r="C50" s="3"/>
    </row>
    <row r="51">
      <c r="A51" s="41"/>
      <c r="B51" s="3"/>
      <c r="C51" s="3"/>
    </row>
    <row r="52">
      <c r="A52" s="41"/>
      <c r="B52" s="3"/>
      <c r="C52" s="3"/>
    </row>
    <row r="53">
      <c r="A53" s="41"/>
      <c r="B53" s="3"/>
      <c r="C53" s="3"/>
    </row>
    <row r="54">
      <c r="A54" s="41"/>
      <c r="B54" s="3"/>
      <c r="C54" s="3"/>
    </row>
    <row r="55">
      <c r="A55" s="41"/>
      <c r="B55" s="3"/>
      <c r="C55" s="3"/>
    </row>
    <row r="56">
      <c r="A56" s="41"/>
      <c r="B56" s="3"/>
      <c r="C56" s="3"/>
    </row>
    <row r="57">
      <c r="A57" s="41"/>
      <c r="B57" s="3"/>
      <c r="C57" s="3"/>
    </row>
    <row r="58">
      <c r="A58" s="41"/>
      <c r="B58" s="3"/>
      <c r="C58" s="3"/>
    </row>
    <row r="59">
      <c r="A59" s="41"/>
      <c r="B59" s="3"/>
      <c r="C59" s="3"/>
    </row>
    <row r="60">
      <c r="A60" s="41"/>
      <c r="B60" s="3"/>
      <c r="C60" s="3"/>
    </row>
    <row r="61">
      <c r="A61" s="41"/>
      <c r="B61" s="3"/>
      <c r="C61" s="3"/>
    </row>
    <row r="62">
      <c r="A62" s="41"/>
      <c r="B62" s="3"/>
      <c r="C62" s="3"/>
    </row>
    <row r="63">
      <c r="A63" s="41"/>
      <c r="B63" s="3"/>
      <c r="C63" s="3"/>
    </row>
    <row r="64">
      <c r="A64" s="41"/>
      <c r="B64" s="3"/>
      <c r="C64" s="3"/>
    </row>
    <row r="65">
      <c r="A65" s="41"/>
      <c r="B65" s="3"/>
      <c r="C65" s="3"/>
    </row>
    <row r="66">
      <c r="A66" s="41"/>
      <c r="B66" s="3"/>
      <c r="C66" s="3"/>
    </row>
    <row r="67">
      <c r="A67" s="41"/>
      <c r="B67" s="3"/>
      <c r="C67" s="3"/>
    </row>
    <row r="68">
      <c r="A68" s="41"/>
      <c r="B68" s="3"/>
      <c r="C68" s="3"/>
    </row>
    <row r="69">
      <c r="A69" s="41"/>
      <c r="B69" s="3"/>
      <c r="C69" s="3"/>
    </row>
    <row r="70">
      <c r="A70" s="41"/>
      <c r="B70" s="3"/>
      <c r="C70" s="3"/>
    </row>
    <row r="71">
      <c r="A71" s="41"/>
      <c r="B71" s="3"/>
      <c r="C71" s="3"/>
    </row>
    <row r="72">
      <c r="A72" s="41"/>
      <c r="B72" s="3"/>
      <c r="C72" s="3"/>
    </row>
    <row r="73">
      <c r="A73" s="41"/>
      <c r="B73" s="3"/>
      <c r="C73" s="3"/>
    </row>
    <row r="74">
      <c r="A74" s="41"/>
      <c r="B74" s="3"/>
      <c r="C74" s="3"/>
    </row>
    <row r="75">
      <c r="A75" s="41"/>
      <c r="B75" s="3"/>
      <c r="C75" s="3"/>
    </row>
    <row r="76">
      <c r="A76" s="41"/>
      <c r="B76" s="3"/>
      <c r="C76" s="3"/>
    </row>
    <row r="77">
      <c r="A77" s="41"/>
      <c r="B77" s="3"/>
      <c r="C77" s="3"/>
    </row>
  </sheetData>
  <mergeCells count="2">
    <mergeCell ref="I1:K1"/>
    <mergeCell ref="M1:U1"/>
  </mergeCells>
  <printOptions gridLines="1" horizontalCentered="1"/>
  <pageMargins bottom="0.75" footer="0.0" header="0.0" left="0.7" right="0.7" top="0.75"/>
  <pageSetup scale="65" cellComments="atEnd" orientation="landscape" pageOrder="overThenDown"/>
  <drawing r:id="rId1"/>
</worksheet>
</file>